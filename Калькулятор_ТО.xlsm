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d.vasiliev\Downloads\Тест\"/>
    </mc:Choice>
  </mc:AlternateContent>
  <bookViews>
    <workbookView xWindow="0" yWindow="0" windowWidth="23040" windowHeight="9072" tabRatio="776"/>
  </bookViews>
  <sheets>
    <sheet name="Калькулятор" sheetId="1" r:id="rId1"/>
    <sheet name="Справочник_Модификации" sheetId="2" r:id="rId2"/>
    <sheet name="Справочник_Периодичность" sheetId="3" r:id="rId3"/>
    <sheet name="Справочник_Стоимость_ТО" sheetId="4" r:id="rId4"/>
    <sheet name="Справочник_Регион" sheetId="5" r:id="rId5"/>
    <sheet name="Настройки" sheetId="6" state="hidden" r:id="rId6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0" i="1" l="1"/>
  <c r="D20" i="1"/>
  <c r="C20" i="1"/>
  <c r="M6" i="1"/>
  <c r="L6" i="1"/>
  <c r="K6" i="1"/>
  <c r="K12" i="1"/>
  <c r="K11" i="1"/>
  <c r="K10" i="1"/>
  <c r="J11" i="1"/>
  <c r="K7" i="1" l="1"/>
  <c r="J20" i="4" l="1"/>
</calcChain>
</file>

<file path=xl/sharedStrings.xml><?xml version="1.0" encoding="utf-8"?>
<sst xmlns="http://schemas.openxmlformats.org/spreadsheetml/2006/main" count="196" uniqueCount="87">
  <si>
    <t>Калькулятор доп. услуг ТО</t>
  </si>
  <si>
    <t>Марка:</t>
  </si>
  <si>
    <t>Модель:</t>
  </si>
  <si>
    <t>Модификация:</t>
  </si>
  <si>
    <t>Регион эксплуатации:</t>
  </si>
  <si>
    <t>Возраст, лет:</t>
  </si>
  <si>
    <t>Пробег, км:</t>
  </si>
  <si>
    <t>РАССЧИТАТЬ (кнопка)</t>
  </si>
  <si>
    <t>Услуга</t>
  </si>
  <si>
    <t>Стоимость, ₽</t>
  </si>
  <si>
    <t>Марка</t>
  </si>
  <si>
    <t>Модель</t>
  </si>
  <si>
    <t>Модификация</t>
  </si>
  <si>
    <t>Номер модификации</t>
  </si>
  <si>
    <t>BELGEE</t>
  </si>
  <si>
    <t>S50</t>
  </si>
  <si>
    <t>СДАН 1.5-БЕНЗИН 122 л.с. ПЕРЕДНИЙ AT</t>
  </si>
  <si>
    <t>LADA</t>
  </si>
  <si>
    <t>LARGUS</t>
  </si>
  <si>
    <t>Межсервисный пробег</t>
  </si>
  <si>
    <t>Нулевое обслуживание</t>
  </si>
  <si>
    <t>Дата начала</t>
  </si>
  <si>
    <t>Да</t>
  </si>
  <si>
    <t>Нет</t>
  </si>
  <si>
    <t>ТО</t>
  </si>
  <si>
    <t>Описание</t>
  </si>
  <si>
    <t>Регион</t>
  </si>
  <si>
    <t>Поставщик</t>
  </si>
  <si>
    <t>Розничная</t>
  </si>
  <si>
    <t>Со скидкой</t>
  </si>
  <si>
    <t>Дата прайса</t>
  </si>
  <si>
    <t>ТО 0</t>
  </si>
  <si>
    <t>BELGEE S50</t>
  </si>
  <si>
    <t>Москва</t>
  </si>
  <si>
    <t>ACU</t>
  </si>
  <si>
    <t>ТО 1</t>
  </si>
  <si>
    <t>ТО 2</t>
  </si>
  <si>
    <t>ТО 3</t>
  </si>
  <si>
    <t>ТО 4</t>
  </si>
  <si>
    <t>ТО 5</t>
  </si>
  <si>
    <t>ТО 6</t>
  </si>
  <si>
    <t>ТО 7</t>
  </si>
  <si>
    <t>ТО 8</t>
  </si>
  <si>
    <t>ТО 9</t>
  </si>
  <si>
    <t>Регион ID</t>
  </si>
  <si>
    <t>Название региона</t>
  </si>
  <si>
    <t>Марка ID</t>
  </si>
  <si>
    <t>Название марки</t>
  </si>
  <si>
    <t>Коэф. прайс-листа</t>
  </si>
  <si>
    <t>Прибыль</t>
  </si>
  <si>
    <t>CHERY</t>
  </si>
  <si>
    <t>EXEED</t>
  </si>
  <si>
    <t>GEELY</t>
  </si>
  <si>
    <t>GWM TANK</t>
  </si>
  <si>
    <t>HAVAL</t>
  </si>
  <si>
    <t>Jetour</t>
  </si>
  <si>
    <t>KNEWSTAR</t>
  </si>
  <si>
    <t>OMODA</t>
  </si>
  <si>
    <t>TENET</t>
  </si>
  <si>
    <t>Параметр</t>
  </si>
  <si>
    <t>Значение</t>
  </si>
  <si>
    <t>Макс. возраст</t>
  </si>
  <si>
    <t>Макс. пробег</t>
  </si>
  <si>
    <t>Макс. ТО</t>
  </si>
  <si>
    <t>Инфляция, % в год</t>
  </si>
  <si>
    <t>Коэффициент риска</t>
  </si>
  <si>
    <t>Вознаграждение менеджера</t>
  </si>
  <si>
    <t>ТО-75</t>
  </si>
  <si>
    <t>ТО-90</t>
  </si>
  <si>
    <t>ТО-120</t>
  </si>
  <si>
    <t>ТО 10</t>
  </si>
  <si>
    <t>ТО 11</t>
  </si>
  <si>
    <t>ТО 12</t>
  </si>
  <si>
    <t>ТО 13</t>
  </si>
  <si>
    <t>ТО-30</t>
  </si>
  <si>
    <t>ТО-60</t>
  </si>
  <si>
    <t>LADA LARGUS</t>
  </si>
  <si>
    <t>MT_ПЕРЕДНИЙ_1596_106</t>
  </si>
  <si>
    <t>Срок контракта, мес.:</t>
  </si>
  <si>
    <t>База ТО</t>
  </si>
  <si>
    <t>Итого</t>
  </si>
  <si>
    <t>Маржа</t>
  </si>
  <si>
    <t>Инфляция</t>
  </si>
  <si>
    <t>Менеджер</t>
  </si>
  <si>
    <t>Риск</t>
  </si>
  <si>
    <t>то 60</t>
  </si>
  <si>
    <t>маржа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</si>
</sst>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left"/>
    </xf>
    <xf numFmtId="2" fontId="0" fillId="0" borderId="0" xfId="0" applyNumberFormat="1"/>
    <xf numFmtId="0" fontId="0" fillId="2" borderId="0" xfId="0" applyFill="1"/>
    <xf numFmtId="2" fontId="0" fillId="0" borderId="1" xfId="0" applyNumberFormat="1" applyBorder="1"/>
    <xf numFmtId="0" fontId="0" fillId="0" borderId="1" xfId="0" applyBorder="1"/>
    <xf numFmtId="0" fontId="1" fillId="3" borderId="1" xfId="0" applyFont="1" applyFill="1" applyBorder="1"/>
    <xf numFmtId="2" fontId="0" fillId="0" borderId="0" xfId="0" applyNumberFormat="1" applyAlignment="1">
      <alignment horizontal="left"/>
    </xf>
    <xf numFmtId="2" fontId="0" fillId="0" borderId="0" xfId="0" applyNumberForma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10</xdr:row>
          <xdr:rowOff>7620</xdr:rowOff>
        </xdr:from>
        <xdr:to>
          <xdr:col>1</xdr:col>
          <xdr:colOff>0</xdr:colOff>
          <xdr:row>10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РАСЧИТАТЬ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M20"/>
  <sheetViews>
    <sheetView showGridLines="0" tabSelected="1" topLeftCell="A4" workbookViewId="0">
      <selection activeCell="H22" sqref="H22"/>
    </sheetView>
  </sheetViews>
  <sheetFormatPr defaultRowHeight="14.4" x14ac:dyDescent="0.3"/>
  <cols>
    <col min="1" max="1" width="29.5546875" customWidth="1"/>
    <col min="2" max="2" width="21" customWidth="1"/>
    <col min="3" max="3" width="18.109375" customWidth="1"/>
    <col min="4" max="4" width="15.77734375" customWidth="1"/>
    <col min="5" max="5" width="18.109375" customWidth="1"/>
    <col min="6" max="6" width="17.44140625" customWidth="1"/>
    <col min="7" max="7" width="15.33203125" customWidth="1"/>
  </cols>
  <sheetData>
    <row r="1" spans="1:13" ht="18" x14ac:dyDescent="0.35">
      <c r="A1" s="2" t="s">
        <v>0</v>
      </c>
    </row>
    <row r="3" spans="1:13" x14ac:dyDescent="0.3">
      <c r="A3" s="1" t="s">
        <v>1</v>
      </c>
      <c r="B3" s="5" t="s">
        <v>14</v>
      </c>
    </row>
    <row r="4" spans="1:13" x14ac:dyDescent="0.3">
      <c r="A4" s="1" t="s">
        <v>2</v>
      </c>
      <c r="B4" s="5" t="s">
        <v>15</v>
      </c>
    </row>
    <row r="5" spans="1:13" x14ac:dyDescent="0.3">
      <c r="A5" s="1" t="s">
        <v>3</v>
      </c>
      <c r="B5" s="5" t="s">
        <v>16</v>
      </c>
    </row>
    <row r="6" spans="1:13" x14ac:dyDescent="0.3">
      <c r="A6" s="1" t="s">
        <v>4</v>
      </c>
      <c r="B6" s="5" t="s">
        <v>33</v>
      </c>
      <c r="I6" t="s">
        <v>85</v>
      </c>
      <c r="J6">
        <v>198657.89</v>
      </c>
      <c r="K6">
        <f>J6-K7</f>
        <v>163107.17540000001</v>
      </c>
      <c r="L6">
        <f>K6/1.16</f>
        <v>140609.63396551725</v>
      </c>
      <c r="M6">
        <f>L6/1.04</f>
        <v>135201.57112068965</v>
      </c>
    </row>
    <row r="7" spans="1:13" x14ac:dyDescent="0.3">
      <c r="A7" s="1" t="s">
        <v>5</v>
      </c>
      <c r="B7" s="5">
        <v>0</v>
      </c>
      <c r="I7" t="s">
        <v>86</v>
      </c>
      <c r="J7">
        <v>29139.93</v>
      </c>
      <c r="K7">
        <f>J7*1.22</f>
        <v>35550.714599999999</v>
      </c>
    </row>
    <row r="8" spans="1:13" x14ac:dyDescent="0.3">
      <c r="A8" s="1" t="s">
        <v>6</v>
      </c>
      <c r="B8" s="5">
        <v>0</v>
      </c>
      <c r="J8">
        <v>163107.17540000001</v>
      </c>
    </row>
    <row r="9" spans="1:13" x14ac:dyDescent="0.3">
      <c r="A9" s="1" t="s">
        <v>78</v>
      </c>
      <c r="B9" s="5">
        <v>36</v>
      </c>
    </row>
    <row r="10" spans="1:13" x14ac:dyDescent="0.3">
      <c r="J10">
        <v>87154.69</v>
      </c>
      <c r="K10">
        <f>1.22*12093.34</f>
        <v>14753.8748</v>
      </c>
    </row>
    <row r="11" spans="1:13" x14ac:dyDescent="0.3">
      <c r="A11" t="s">
        <v>7</v>
      </c>
      <c r="B11" t="s">
        <v>9</v>
      </c>
      <c r="J11">
        <f>J10-K10</f>
        <v>72400.815199999997</v>
      </c>
      <c r="K11">
        <f>J11/1.16</f>
        <v>62414.495862068965</v>
      </c>
    </row>
    <row r="12" spans="1:13" ht="22.8" customHeight="1" x14ac:dyDescent="0.3">
      <c r="B12" s="4"/>
      <c r="C12" s="6"/>
      <c r="D12" s="6"/>
      <c r="E12" s="6"/>
      <c r="F12" s="11"/>
      <c r="G12" s="6"/>
      <c r="K12">
        <f>K11/1.04</f>
        <v>60013.938328912467</v>
      </c>
    </row>
    <row r="13" spans="1:13" x14ac:dyDescent="0.3">
      <c r="A13" s="10" t="s">
        <v>8</v>
      </c>
      <c r="B13" s="10" t="s">
        <v>79</v>
      </c>
      <c r="C13" s="10" t="s">
        <v>84</v>
      </c>
      <c r="D13" s="10" t="s">
        <v>81</v>
      </c>
      <c r="E13" s="10" t="s">
        <v>82</v>
      </c>
      <c r="F13" s="10" t="s">
        <v>83</v>
      </c>
      <c r="G13" s="10" t="s">
        <v>80</v>
      </c>
    </row>
    <row r="14" spans="1:13" x14ac:dyDescent="0.3">
      <c r="A14" s="9" t="s">
        <v>74</v>
      </c>
      <c r="B14" s="8">
        <v>56745</v>
      </c>
      <c r="C14" s="8">
        <v>2269.8000000000002</v>
      </c>
      <c r="D14" s="8">
        <v>14753.7</v>
      </c>
      <c r="E14" s="8">
        <v>9079.2000000000007</v>
      </c>
      <c r="F14" s="8">
        <v>5000</v>
      </c>
      <c r="G14" s="9">
        <v>87847.7</v>
      </c>
    </row>
    <row r="15" spans="1:13" x14ac:dyDescent="0.3">
      <c r="A15" s="9" t="s">
        <v>75</v>
      </c>
      <c r="B15" s="8">
        <v>123375</v>
      </c>
      <c r="C15" s="8">
        <v>4935</v>
      </c>
      <c r="D15" s="8">
        <v>32077.5</v>
      </c>
      <c r="E15" s="8">
        <v>19740</v>
      </c>
      <c r="F15" s="8">
        <v>5000</v>
      </c>
      <c r="G15" s="9">
        <v>185127.5</v>
      </c>
    </row>
    <row r="16" spans="1:13" x14ac:dyDescent="0.3">
      <c r="A16" s="9" t="s">
        <v>67</v>
      </c>
      <c r="B16" s="8">
        <v>155622</v>
      </c>
      <c r="C16" s="8">
        <v>6224.88</v>
      </c>
      <c r="D16" s="8">
        <v>40461.72</v>
      </c>
      <c r="E16" s="8">
        <v>24899.52</v>
      </c>
      <c r="F16" s="8">
        <v>5000</v>
      </c>
      <c r="G16" s="9">
        <v>232208.12</v>
      </c>
    </row>
    <row r="17" spans="1:7" x14ac:dyDescent="0.3">
      <c r="A17" s="9" t="s">
        <v>68</v>
      </c>
      <c r="B17" s="8">
        <v>168980</v>
      </c>
      <c r="C17" s="8">
        <v>6759.2</v>
      </c>
      <c r="D17" s="8">
        <v>43934.8</v>
      </c>
      <c r="E17" s="8">
        <v>27036.799999999999</v>
      </c>
      <c r="F17" s="8">
        <v>5000</v>
      </c>
      <c r="G17" s="9">
        <v>251710.8</v>
      </c>
    </row>
    <row r="18" spans="1:7" x14ac:dyDescent="0.3">
      <c r="A18" s="9" t="s">
        <v>69</v>
      </c>
      <c r="B18" s="8">
        <v>235610</v>
      </c>
      <c r="C18" s="8">
        <v>9424.4</v>
      </c>
      <c r="D18" s="8">
        <v>61258.6</v>
      </c>
      <c r="E18" s="8">
        <v>37697.599999999999</v>
      </c>
      <c r="F18" s="8">
        <v>5000</v>
      </c>
      <c r="G18" s="9">
        <v>348990.6</v>
      </c>
    </row>
    <row r="19" spans="1:7" x14ac:dyDescent="0.3">
      <c r="C19" s="6"/>
      <c r="D19" s="6"/>
      <c r="E19" s="6"/>
    </row>
    <row r="20" spans="1:7" x14ac:dyDescent="0.3">
      <c r="B20" s="12">
        <v>136733</v>
      </c>
      <c r="C20">
        <f>B20*0.04</f>
        <v>5469.32</v>
      </c>
      <c r="D20">
        <f>B20*0.26</f>
        <v>35550.58</v>
      </c>
      <c r="E20" s="12">
        <f>B20*0.16</f>
        <v>21877.279999999999</v>
      </c>
      <c r="F20" s="12">
        <v>5000</v>
      </c>
      <c r="G20">
        <v>204630</v>
      </c>
    </row>
  </sheetData>
  <dataValidations count="3">
    <dataValidation type="whole" allowBlank="1" showInputMessage="1" showErrorMessage="1" sqref="B7">
      <formula1>0</formula1>
      <formula2>100</formula2>
    </dataValidation>
    <dataValidation type="whole" allowBlank="1" showInputMessage="1" showErrorMessage="1" sqref="B8">
      <formula1>0</formula1>
      <formula2>70000</formula2>
    </dataValidation>
    <dataValidation type="whole" allowBlank="1" showInputMessage="1" showErrorMessage="1" sqref="B9">
      <formula1>1</formula1>
      <formula2>36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ateServices">
                <anchor moveWithCells="1" sizeWithCells="1">
                  <from>
                    <xdr:col>0</xdr:col>
                    <xdr:colOff>15240</xdr:colOff>
                    <xdr:row>10</xdr:row>
                    <xdr:rowOff>7620</xdr:rowOff>
                  </from>
                  <to>
                    <xdr:col>1</xdr:col>
                    <xdr:colOff>0</xdr:colOff>
                    <xdr:row>10</xdr:row>
                    <xdr:rowOff>167640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Справочник_Регион!$B$2:$B$996</xm:f>
          </x14:formula1>
          <xm:sqref>B6</xm:sqref>
        </x14:dataValidation>
        <x14:dataValidation type="list" allowBlank="1" showInputMessage="1" showErrorMessage="1">
          <x14:formula1>
            <xm:f>Справочник_Модификации!$A$2:$A$991</xm:f>
          </x14:formula1>
          <xm:sqref>B3</xm:sqref>
        </x14:dataValidation>
        <x14:dataValidation type="list" allowBlank="1" showInputMessage="1" showErrorMessage="1">
          <x14:formula1>
            <xm:f>Справочник_Модификации!$B$2:$B$991</xm:f>
          </x14:formula1>
          <xm:sqref>B4</xm:sqref>
        </x14:dataValidation>
        <x14:dataValidation type="list" allowBlank="1" showInputMessage="1" showErrorMessage="1">
          <x14:formula1>
            <xm:f>Справочник_Модификации!$C$2:$C$1000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3"/>
  <sheetViews>
    <sheetView workbookViewId="0">
      <selection activeCell="D3" sqref="D3"/>
    </sheetView>
  </sheetViews>
  <sheetFormatPr defaultRowHeight="14.4" x14ac:dyDescent="0.3"/>
  <cols>
    <col min="2" max="2" width="18" customWidth="1"/>
    <col min="3" max="3" width="18.88671875" customWidth="1"/>
    <col min="4" max="4" width="19.33203125" customWidth="1"/>
  </cols>
  <sheetData>
    <row r="1" spans="1:4" x14ac:dyDescent="0.3">
      <c r="A1" t="s">
        <v>10</v>
      </c>
      <c r="B1" t="s">
        <v>11</v>
      </c>
      <c r="C1" t="s">
        <v>12</v>
      </c>
      <c r="D1" t="s">
        <v>13</v>
      </c>
    </row>
    <row r="2" spans="1:4" x14ac:dyDescent="0.3">
      <c r="A2" t="s">
        <v>14</v>
      </c>
      <c r="B2" t="s">
        <v>15</v>
      </c>
      <c r="C2" t="s">
        <v>16</v>
      </c>
      <c r="D2">
        <v>155798</v>
      </c>
    </row>
    <row r="3" spans="1:4" x14ac:dyDescent="0.3">
      <c r="A3" t="s">
        <v>17</v>
      </c>
      <c r="B3" t="s">
        <v>18</v>
      </c>
      <c r="C3" t="s">
        <v>77</v>
      </c>
      <c r="D3">
        <v>154292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3"/>
  <sheetViews>
    <sheetView workbookViewId="0">
      <selection activeCell="B3" sqref="B3"/>
    </sheetView>
  </sheetViews>
  <sheetFormatPr defaultRowHeight="14.4" x14ac:dyDescent="0.3"/>
  <cols>
    <col min="4" max="4" width="11.5546875" bestFit="1" customWidth="1"/>
  </cols>
  <sheetData>
    <row r="1" spans="1:4" x14ac:dyDescent="0.3">
      <c r="A1" t="s">
        <v>13</v>
      </c>
      <c r="B1" t="s">
        <v>19</v>
      </c>
      <c r="C1" t="s">
        <v>20</v>
      </c>
      <c r="D1" t="s">
        <v>21</v>
      </c>
    </row>
    <row r="2" spans="1:4" x14ac:dyDescent="0.3">
      <c r="A2">
        <v>155798</v>
      </c>
      <c r="B2">
        <v>10</v>
      </c>
      <c r="C2" t="s">
        <v>22</v>
      </c>
      <c r="D2" s="3">
        <v>46281</v>
      </c>
    </row>
    <row r="3" spans="1:4" x14ac:dyDescent="0.3">
      <c r="A3">
        <v>154292</v>
      </c>
      <c r="B3">
        <v>15</v>
      </c>
      <c r="C3" t="s">
        <v>23</v>
      </c>
      <c r="D3" s="3">
        <v>46281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J28"/>
  <sheetViews>
    <sheetView workbookViewId="0">
      <selection activeCell="G2" sqref="G2:G9"/>
    </sheetView>
  </sheetViews>
  <sheetFormatPr defaultRowHeight="14.4" x14ac:dyDescent="0.3"/>
  <cols>
    <col min="3" max="3" width="12.77734375" customWidth="1"/>
    <col min="4" max="4" width="12.21875" customWidth="1"/>
    <col min="6" max="6" width="12.44140625" customWidth="1"/>
    <col min="7" max="7" width="10.44140625" bestFit="1" customWidth="1"/>
    <col min="8" max="8" width="11.5546875" bestFit="1" customWidth="1"/>
  </cols>
  <sheetData>
    <row r="1" spans="1:9" x14ac:dyDescent="0.3">
      <c r="A1" t="s">
        <v>13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</row>
    <row r="2" spans="1:9" x14ac:dyDescent="0.3">
      <c r="A2">
        <v>155798</v>
      </c>
      <c r="B2" t="s">
        <v>31</v>
      </c>
      <c r="C2" t="s">
        <v>32</v>
      </c>
      <c r="D2" t="s">
        <v>33</v>
      </c>
      <c r="E2" t="s">
        <v>34</v>
      </c>
      <c r="F2">
        <v>15885</v>
      </c>
      <c r="G2">
        <v>11140</v>
      </c>
      <c r="H2" s="3">
        <v>46281</v>
      </c>
    </row>
    <row r="3" spans="1:9" x14ac:dyDescent="0.3">
      <c r="A3">
        <v>155798</v>
      </c>
      <c r="B3" t="s">
        <v>35</v>
      </c>
      <c r="C3" t="s">
        <v>32</v>
      </c>
      <c r="D3" t="s">
        <v>33</v>
      </c>
      <c r="E3" t="s">
        <v>34</v>
      </c>
      <c r="F3">
        <v>21965</v>
      </c>
      <c r="G3">
        <v>13358</v>
      </c>
      <c r="H3" s="3">
        <v>46281</v>
      </c>
    </row>
    <row r="4" spans="1:9" x14ac:dyDescent="0.3">
      <c r="A4">
        <v>155798</v>
      </c>
      <c r="B4" t="s">
        <v>36</v>
      </c>
      <c r="C4" t="s">
        <v>32</v>
      </c>
      <c r="D4" t="s">
        <v>33</v>
      </c>
      <c r="E4" t="s">
        <v>34</v>
      </c>
      <c r="F4">
        <v>29864</v>
      </c>
      <c r="G4">
        <v>18889</v>
      </c>
      <c r="H4" s="3">
        <v>46281</v>
      </c>
    </row>
    <row r="5" spans="1:9" x14ac:dyDescent="0.3">
      <c r="A5">
        <v>155798</v>
      </c>
      <c r="B5" t="s">
        <v>37</v>
      </c>
      <c r="C5" t="s">
        <v>32</v>
      </c>
      <c r="D5" t="s">
        <v>33</v>
      </c>
      <c r="E5" t="s">
        <v>34</v>
      </c>
      <c r="F5">
        <v>21965</v>
      </c>
      <c r="G5">
        <v>13358</v>
      </c>
      <c r="H5" s="3">
        <v>46281</v>
      </c>
    </row>
    <row r="6" spans="1:9" x14ac:dyDescent="0.3">
      <c r="A6">
        <v>155798</v>
      </c>
      <c r="B6" t="s">
        <v>38</v>
      </c>
      <c r="C6" t="s">
        <v>32</v>
      </c>
      <c r="D6" t="s">
        <v>33</v>
      </c>
      <c r="E6" t="s">
        <v>34</v>
      </c>
      <c r="F6">
        <v>51030</v>
      </c>
      <c r="G6">
        <v>33177</v>
      </c>
      <c r="H6" s="3">
        <v>46281</v>
      </c>
    </row>
    <row r="7" spans="1:9" x14ac:dyDescent="0.3">
      <c r="A7">
        <v>155798</v>
      </c>
      <c r="B7" t="s">
        <v>39</v>
      </c>
      <c r="C7" t="s">
        <v>32</v>
      </c>
      <c r="D7" t="s">
        <v>33</v>
      </c>
      <c r="E7" t="s">
        <v>34</v>
      </c>
      <c r="F7">
        <v>21965</v>
      </c>
      <c r="G7">
        <v>13358</v>
      </c>
      <c r="H7" s="3">
        <v>46281</v>
      </c>
    </row>
    <row r="8" spans="1:9" x14ac:dyDescent="0.3">
      <c r="A8">
        <v>155798</v>
      </c>
      <c r="B8" t="s">
        <v>40</v>
      </c>
      <c r="C8" t="s">
        <v>32</v>
      </c>
      <c r="D8" t="s">
        <v>33</v>
      </c>
      <c r="E8" t="s">
        <v>34</v>
      </c>
      <c r="F8">
        <v>31190</v>
      </c>
      <c r="G8">
        <v>20095</v>
      </c>
      <c r="H8" s="3">
        <v>46281</v>
      </c>
    </row>
    <row r="9" spans="1:9" x14ac:dyDescent="0.3">
      <c r="A9">
        <v>155798</v>
      </c>
      <c r="B9" t="s">
        <v>41</v>
      </c>
      <c r="C9" t="s">
        <v>32</v>
      </c>
      <c r="D9" t="s">
        <v>33</v>
      </c>
      <c r="E9" t="s">
        <v>34</v>
      </c>
      <c r="F9">
        <v>21965</v>
      </c>
      <c r="G9">
        <v>13358</v>
      </c>
      <c r="H9" s="3">
        <v>46281</v>
      </c>
    </row>
    <row r="10" spans="1:9" x14ac:dyDescent="0.3">
      <c r="A10">
        <v>155798</v>
      </c>
      <c r="B10" t="s">
        <v>42</v>
      </c>
      <c r="C10" t="s">
        <v>32</v>
      </c>
      <c r="D10" t="s">
        <v>33</v>
      </c>
      <c r="E10" t="s">
        <v>34</v>
      </c>
      <c r="F10">
        <v>29864</v>
      </c>
      <c r="G10">
        <v>18889</v>
      </c>
      <c r="H10" s="3">
        <v>46281</v>
      </c>
    </row>
    <row r="11" spans="1:9" x14ac:dyDescent="0.3">
      <c r="A11">
        <v>155798</v>
      </c>
      <c r="B11" t="s">
        <v>43</v>
      </c>
      <c r="C11" t="s">
        <v>32</v>
      </c>
      <c r="D11" t="s">
        <v>33</v>
      </c>
      <c r="E11" t="s">
        <v>34</v>
      </c>
      <c r="F11">
        <v>21965</v>
      </c>
      <c r="G11">
        <v>13358</v>
      </c>
      <c r="H11" s="3">
        <v>46281</v>
      </c>
    </row>
    <row r="12" spans="1:9" x14ac:dyDescent="0.3">
      <c r="A12">
        <v>155798</v>
      </c>
      <c r="B12" t="s">
        <v>70</v>
      </c>
      <c r="C12" t="s">
        <v>32</v>
      </c>
      <c r="D12" t="s">
        <v>33</v>
      </c>
      <c r="E12" t="s">
        <v>34</v>
      </c>
      <c r="F12">
        <v>51030</v>
      </c>
      <c r="G12">
        <v>33177</v>
      </c>
      <c r="H12" s="3">
        <v>46281</v>
      </c>
    </row>
    <row r="13" spans="1:9" x14ac:dyDescent="0.3">
      <c r="A13">
        <v>155798</v>
      </c>
      <c r="B13" t="s">
        <v>71</v>
      </c>
      <c r="C13" t="s">
        <v>32</v>
      </c>
      <c r="D13" t="s">
        <v>33</v>
      </c>
      <c r="E13" t="s">
        <v>34</v>
      </c>
      <c r="F13">
        <v>21965</v>
      </c>
      <c r="G13">
        <v>13358</v>
      </c>
      <c r="H13" s="3">
        <v>46281</v>
      </c>
    </row>
    <row r="14" spans="1:9" x14ac:dyDescent="0.3">
      <c r="A14">
        <v>155798</v>
      </c>
      <c r="B14" t="s">
        <v>72</v>
      </c>
      <c r="C14" t="s">
        <v>32</v>
      </c>
      <c r="D14" t="s">
        <v>33</v>
      </c>
      <c r="E14" t="s">
        <v>34</v>
      </c>
      <c r="F14">
        <v>31190</v>
      </c>
      <c r="G14">
        <v>20095</v>
      </c>
      <c r="H14" s="3">
        <v>46281</v>
      </c>
    </row>
    <row r="15" spans="1:9" x14ac:dyDescent="0.3">
      <c r="A15">
        <v>155798</v>
      </c>
      <c r="B15" t="s">
        <v>73</v>
      </c>
      <c r="C15" t="s">
        <v>32</v>
      </c>
      <c r="D15" t="s">
        <v>33</v>
      </c>
      <c r="E15" t="s">
        <v>34</v>
      </c>
      <c r="F15">
        <v>21965</v>
      </c>
      <c r="G15">
        <v>13358</v>
      </c>
      <c r="H15" s="3">
        <v>46281</v>
      </c>
    </row>
    <row r="16" spans="1:9" x14ac:dyDescent="0.3">
      <c r="A16">
        <v>154292</v>
      </c>
      <c r="B16" t="s">
        <v>35</v>
      </c>
      <c r="C16" t="s">
        <v>76</v>
      </c>
      <c r="D16" t="s">
        <v>33</v>
      </c>
      <c r="E16" t="s">
        <v>34</v>
      </c>
      <c r="F16" s="6">
        <v>16107.696</v>
      </c>
      <c r="G16" s="6">
        <v>14643.36</v>
      </c>
      <c r="H16" s="3">
        <v>46281</v>
      </c>
      <c r="I16">
        <v>15</v>
      </c>
    </row>
    <row r="17" spans="1:10" x14ac:dyDescent="0.3">
      <c r="A17">
        <v>154292</v>
      </c>
      <c r="B17" t="s">
        <v>36</v>
      </c>
      <c r="C17" t="s">
        <v>76</v>
      </c>
      <c r="D17" t="s">
        <v>33</v>
      </c>
      <c r="E17" t="s">
        <v>34</v>
      </c>
      <c r="F17" s="6">
        <v>17454.228000000003</v>
      </c>
      <c r="G17" s="6">
        <v>15867.480000000001</v>
      </c>
      <c r="H17" s="3">
        <v>46281</v>
      </c>
      <c r="I17">
        <v>30</v>
      </c>
    </row>
    <row r="18" spans="1:10" x14ac:dyDescent="0.3">
      <c r="A18">
        <v>154292</v>
      </c>
      <c r="B18" t="s">
        <v>37</v>
      </c>
      <c r="C18" t="s">
        <v>76</v>
      </c>
      <c r="D18" t="s">
        <v>33</v>
      </c>
      <c r="E18" t="s">
        <v>34</v>
      </c>
      <c r="F18" s="6">
        <v>17750.524000000001</v>
      </c>
      <c r="G18" s="6">
        <v>16136.84</v>
      </c>
      <c r="H18" s="3">
        <v>46281</v>
      </c>
      <c r="I18">
        <v>45</v>
      </c>
    </row>
    <row r="19" spans="1:10" x14ac:dyDescent="0.3">
      <c r="A19">
        <v>154292</v>
      </c>
      <c r="B19" t="s">
        <v>38</v>
      </c>
      <c r="C19" t="s">
        <v>76</v>
      </c>
      <c r="D19" t="s">
        <v>33</v>
      </c>
      <c r="E19" t="s">
        <v>34</v>
      </c>
      <c r="F19" s="6">
        <v>39656.276000000005</v>
      </c>
      <c r="G19" s="6">
        <v>36051.160000000003</v>
      </c>
      <c r="H19" s="3">
        <v>46281</v>
      </c>
      <c r="I19">
        <v>60</v>
      </c>
    </row>
    <row r="20" spans="1:10" x14ac:dyDescent="0.3">
      <c r="A20">
        <v>154292</v>
      </c>
      <c r="B20" t="s">
        <v>39</v>
      </c>
      <c r="C20" t="s">
        <v>76</v>
      </c>
      <c r="D20" t="s">
        <v>33</v>
      </c>
      <c r="E20" t="s">
        <v>34</v>
      </c>
      <c r="F20" s="6">
        <v>23664.872000000003</v>
      </c>
      <c r="G20" s="6">
        <v>21513.52</v>
      </c>
      <c r="H20" s="3">
        <v>46281</v>
      </c>
      <c r="I20">
        <v>75</v>
      </c>
      <c r="J20">
        <f>G20*1.15552+5000</f>
        <v>29859.302630400001</v>
      </c>
    </row>
    <row r="21" spans="1:10" x14ac:dyDescent="0.3">
      <c r="A21">
        <v>154292</v>
      </c>
      <c r="B21" t="s">
        <v>40</v>
      </c>
      <c r="C21" t="s">
        <v>76</v>
      </c>
      <c r="D21" t="s">
        <v>33</v>
      </c>
      <c r="E21" t="s">
        <v>34</v>
      </c>
      <c r="F21" s="6">
        <v>32531.136000000006</v>
      </c>
      <c r="G21" s="6">
        <v>29573.760000000002</v>
      </c>
      <c r="H21" s="3">
        <v>46281</v>
      </c>
      <c r="I21">
        <v>90</v>
      </c>
    </row>
    <row r="22" spans="1:10" x14ac:dyDescent="0.3">
      <c r="A22">
        <v>154292</v>
      </c>
      <c r="B22" t="s">
        <v>41</v>
      </c>
      <c r="C22" t="s">
        <v>76</v>
      </c>
      <c r="D22" t="s">
        <v>33</v>
      </c>
      <c r="E22" t="s">
        <v>34</v>
      </c>
      <c r="F22" s="6">
        <v>16107.696000000002</v>
      </c>
      <c r="G22" s="6">
        <v>14643.36</v>
      </c>
      <c r="H22" s="3">
        <v>46281</v>
      </c>
      <c r="I22">
        <v>105</v>
      </c>
    </row>
    <row r="23" spans="1:10" x14ac:dyDescent="0.3">
      <c r="A23">
        <v>154292</v>
      </c>
      <c r="B23" t="s">
        <v>42</v>
      </c>
      <c r="C23" t="s">
        <v>76</v>
      </c>
      <c r="D23" t="s">
        <v>33</v>
      </c>
      <c r="E23" t="s">
        <v>34</v>
      </c>
      <c r="F23" s="6">
        <v>17454.228000000003</v>
      </c>
      <c r="G23" s="6">
        <v>15867.480000000001</v>
      </c>
      <c r="H23" s="3">
        <v>46281</v>
      </c>
      <c r="I23">
        <v>120</v>
      </c>
    </row>
    <row r="24" spans="1:10" x14ac:dyDescent="0.3">
      <c r="A24">
        <v>154292</v>
      </c>
      <c r="B24" t="s">
        <v>43</v>
      </c>
      <c r="C24" t="s">
        <v>76</v>
      </c>
      <c r="D24" t="s">
        <v>33</v>
      </c>
      <c r="E24" t="s">
        <v>34</v>
      </c>
      <c r="F24" s="6">
        <v>17750.524000000001</v>
      </c>
      <c r="G24" s="6">
        <v>16136.84</v>
      </c>
      <c r="H24" s="3">
        <v>46281</v>
      </c>
    </row>
    <row r="25" spans="1:10" x14ac:dyDescent="0.3">
      <c r="A25">
        <v>154292</v>
      </c>
      <c r="B25" t="s">
        <v>70</v>
      </c>
      <c r="C25" t="s">
        <v>76</v>
      </c>
      <c r="D25" t="s">
        <v>33</v>
      </c>
      <c r="E25" t="s">
        <v>34</v>
      </c>
      <c r="F25" s="6">
        <v>39656.276000000005</v>
      </c>
      <c r="G25" s="6">
        <v>36051.160000000003</v>
      </c>
      <c r="H25" s="3">
        <v>46281</v>
      </c>
    </row>
    <row r="26" spans="1:10" x14ac:dyDescent="0.3">
      <c r="A26">
        <v>154292</v>
      </c>
      <c r="B26" t="s">
        <v>71</v>
      </c>
      <c r="C26" t="s">
        <v>76</v>
      </c>
      <c r="D26" t="s">
        <v>33</v>
      </c>
      <c r="E26" t="s">
        <v>34</v>
      </c>
      <c r="F26" s="6">
        <v>23664.872000000003</v>
      </c>
      <c r="G26" s="6">
        <v>21513.52</v>
      </c>
      <c r="H26" s="3">
        <v>46281</v>
      </c>
    </row>
    <row r="27" spans="1:10" x14ac:dyDescent="0.3">
      <c r="A27">
        <v>154292</v>
      </c>
      <c r="B27" t="s">
        <v>72</v>
      </c>
      <c r="C27" t="s">
        <v>76</v>
      </c>
      <c r="D27" t="s">
        <v>33</v>
      </c>
      <c r="E27" t="s">
        <v>34</v>
      </c>
      <c r="F27" s="6">
        <v>32531.136000000006</v>
      </c>
      <c r="G27" s="6">
        <v>29573.760000000002</v>
      </c>
      <c r="H27" s="3">
        <v>46281</v>
      </c>
    </row>
    <row r="28" spans="1:10" x14ac:dyDescent="0.3">
      <c r="A28">
        <v>154292</v>
      </c>
      <c r="B28" t="s">
        <v>73</v>
      </c>
      <c r="C28" t="s">
        <v>76</v>
      </c>
      <c r="D28" t="s">
        <v>33</v>
      </c>
      <c r="E28" t="s">
        <v>34</v>
      </c>
      <c r="F28" s="6">
        <v>16107.696000000002</v>
      </c>
      <c r="G28" s="6">
        <v>14643.36</v>
      </c>
      <c r="H28" s="3">
        <v>46281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F12"/>
  <sheetViews>
    <sheetView workbookViewId="0">
      <selection activeCell="M13" sqref="M13"/>
    </sheetView>
  </sheetViews>
  <sheetFormatPr defaultRowHeight="14.4" x14ac:dyDescent="0.3"/>
  <cols>
    <col min="2" max="2" width="19.109375" customWidth="1"/>
  </cols>
  <sheetData>
    <row r="1" spans="1:6" x14ac:dyDescent="0.3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</row>
    <row r="2" spans="1:6" x14ac:dyDescent="0.3">
      <c r="A2">
        <v>78</v>
      </c>
      <c r="B2" t="s">
        <v>33</v>
      </c>
      <c r="C2">
        <v>2655</v>
      </c>
      <c r="D2" t="s">
        <v>14</v>
      </c>
      <c r="E2">
        <v>1</v>
      </c>
      <c r="F2">
        <v>0.26</v>
      </c>
    </row>
    <row r="3" spans="1:6" x14ac:dyDescent="0.3">
      <c r="A3">
        <v>78</v>
      </c>
      <c r="B3" t="s">
        <v>33</v>
      </c>
      <c r="C3">
        <v>17</v>
      </c>
      <c r="D3" t="s">
        <v>50</v>
      </c>
      <c r="E3">
        <v>1</v>
      </c>
      <c r="F3">
        <v>0.22</v>
      </c>
    </row>
    <row r="4" spans="1:6" x14ac:dyDescent="0.3">
      <c r="A4">
        <v>78</v>
      </c>
      <c r="B4" t="s">
        <v>33</v>
      </c>
      <c r="C4">
        <v>1093</v>
      </c>
      <c r="D4" t="s">
        <v>51</v>
      </c>
      <c r="E4">
        <v>1</v>
      </c>
      <c r="F4">
        <v>0.25</v>
      </c>
    </row>
    <row r="5" spans="1:6" x14ac:dyDescent="0.3">
      <c r="A5">
        <v>78</v>
      </c>
      <c r="B5" t="s">
        <v>33</v>
      </c>
      <c r="C5">
        <v>32</v>
      </c>
      <c r="D5" t="s">
        <v>52</v>
      </c>
      <c r="E5">
        <v>1</v>
      </c>
      <c r="F5">
        <v>0.37</v>
      </c>
    </row>
    <row r="6" spans="1:6" x14ac:dyDescent="0.3">
      <c r="A6">
        <v>78</v>
      </c>
      <c r="B6" t="s">
        <v>33</v>
      </c>
      <c r="C6">
        <v>1845</v>
      </c>
      <c r="D6" t="s">
        <v>53</v>
      </c>
      <c r="E6">
        <v>1</v>
      </c>
      <c r="F6">
        <v>0.35</v>
      </c>
    </row>
    <row r="7" spans="1:6" x14ac:dyDescent="0.3">
      <c r="A7">
        <v>78</v>
      </c>
      <c r="B7" t="s">
        <v>33</v>
      </c>
      <c r="C7">
        <v>36</v>
      </c>
      <c r="D7" t="s">
        <v>54</v>
      </c>
      <c r="E7">
        <v>1</v>
      </c>
      <c r="F7">
        <v>0.25</v>
      </c>
    </row>
    <row r="8" spans="1:6" x14ac:dyDescent="0.3">
      <c r="A8">
        <v>78</v>
      </c>
      <c r="B8" t="s">
        <v>33</v>
      </c>
      <c r="C8">
        <v>2097</v>
      </c>
      <c r="D8" t="s">
        <v>55</v>
      </c>
      <c r="E8">
        <v>1</v>
      </c>
      <c r="F8">
        <v>0.2</v>
      </c>
    </row>
    <row r="9" spans="1:6" x14ac:dyDescent="0.3">
      <c r="A9">
        <v>78</v>
      </c>
      <c r="B9" t="s">
        <v>33</v>
      </c>
      <c r="C9">
        <v>3284</v>
      </c>
      <c r="D9" t="s">
        <v>56</v>
      </c>
      <c r="E9">
        <v>1</v>
      </c>
      <c r="F9">
        <v>0.19</v>
      </c>
    </row>
    <row r="10" spans="1:6" x14ac:dyDescent="0.3">
      <c r="A10">
        <v>78</v>
      </c>
      <c r="B10" t="s">
        <v>33</v>
      </c>
      <c r="C10">
        <v>303</v>
      </c>
      <c r="D10" s="7" t="s">
        <v>17</v>
      </c>
      <c r="E10">
        <v>1</v>
      </c>
      <c r="F10">
        <v>0.18</v>
      </c>
    </row>
    <row r="11" spans="1:6" x14ac:dyDescent="0.3">
      <c r="A11">
        <v>78</v>
      </c>
      <c r="B11" t="s">
        <v>33</v>
      </c>
      <c r="C11">
        <v>1722</v>
      </c>
      <c r="D11" t="s">
        <v>57</v>
      </c>
      <c r="E11">
        <v>1</v>
      </c>
      <c r="F11">
        <v>0.25</v>
      </c>
    </row>
    <row r="12" spans="1:6" x14ac:dyDescent="0.3">
      <c r="A12">
        <v>78</v>
      </c>
      <c r="B12" t="s">
        <v>33</v>
      </c>
      <c r="C12">
        <v>3881</v>
      </c>
      <c r="D12" t="s">
        <v>58</v>
      </c>
      <c r="E12">
        <v>1</v>
      </c>
      <c r="F12">
        <v>0.21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B7"/>
  <sheetViews>
    <sheetView workbookViewId="0">
      <selection sqref="A1:B7"/>
    </sheetView>
  </sheetViews>
  <sheetFormatPr defaultRowHeight="14.4" x14ac:dyDescent="0.3"/>
  <sheetData>
    <row r="1" spans="1:2" x14ac:dyDescent="0.3">
      <c r="A1" t="s">
        <v>59</v>
      </c>
      <c r="B1" t="s">
        <v>60</v>
      </c>
    </row>
    <row r="2" spans="1:2" x14ac:dyDescent="0.3">
      <c r="A2" t="s">
        <v>61</v>
      </c>
      <c r="B2">
        <v>2</v>
      </c>
    </row>
    <row r="3" spans="1:2" x14ac:dyDescent="0.3">
      <c r="A3" t="s">
        <v>62</v>
      </c>
      <c r="B3">
        <v>70000</v>
      </c>
    </row>
    <row r="4" spans="1:2" x14ac:dyDescent="0.3">
      <c r="A4" t="s">
        <v>63</v>
      </c>
      <c r="B4">
        <v>120</v>
      </c>
    </row>
    <row r="5" spans="1:2" x14ac:dyDescent="0.3">
      <c r="A5" t="s">
        <v>64</v>
      </c>
      <c r="B5">
        <v>8</v>
      </c>
    </row>
    <row r="6" spans="1:2" x14ac:dyDescent="0.3">
      <c r="A6" t="s">
        <v>65</v>
      </c>
      <c r="B6">
        <v>4.0000000000000002E-4</v>
      </c>
    </row>
    <row r="7" spans="1:2" x14ac:dyDescent="0.3">
      <c r="A7" t="s">
        <v>66</v>
      </c>
      <c r="B7">
        <v>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Калькулятор</vt:lpstr>
      <vt:lpstr>Справочник_Модификации</vt:lpstr>
      <vt:lpstr>Справочник_Периодичность</vt:lpstr>
      <vt:lpstr>Справочник_Стоимость_ТО</vt:lpstr>
      <vt:lpstr>Справочник_Регион</vt:lpstr>
      <vt:lpstr>Настройки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Васильев Дмитрий</dc:creator>
  <cp:lastModifiedBy>Васильев Дмитрий</cp:lastModifiedBy>
  <dcterms:created xsi:type="dcterms:W3CDTF">2026-09-29T08:00:19Z</dcterms:created>
  <dcterms:modified xsi:type="dcterms:W3CDTF">2026-09-30T14:32:14Z</dcterms:modified>
</cp:coreProperties>
</file>